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farah\Downloads\"/>
    </mc:Choice>
  </mc:AlternateContent>
  <xr:revisionPtr revIDLastSave="0" documentId="13_ncr:1_{A444776D-89B7-4DC8-880F-EF7880913B18}" xr6:coauthVersionLast="47" xr6:coauthVersionMax="47" xr10:uidLastSave="{00000000-0000-0000-0000-000000000000}"/>
  <bookViews>
    <workbookView xWindow="760" yWindow="720" windowWidth="18400" windowHeight="10080" tabRatio="500" xr2:uid="{00000000-000D-0000-FFFF-FFFF00000000}"/>
  </bookViews>
  <sheets>
    <sheet name="Manual Test Cases" sheetId="1" r:id="rId1"/>
    <sheet name="Summary"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2" i="2" l="1"/>
  <c r="B11" i="2"/>
  <c r="B10" i="2"/>
  <c r="B9" i="2"/>
  <c r="B8" i="2"/>
  <c r="B7" i="2"/>
  <c r="B6" i="2"/>
  <c r="B5" i="2"/>
  <c r="B4" i="2"/>
  <c r="B3" i="2"/>
</calcChain>
</file>

<file path=xl/sharedStrings.xml><?xml version="1.0" encoding="utf-8"?>
<sst xmlns="http://schemas.openxmlformats.org/spreadsheetml/2006/main" count="377" uniqueCount="197">
  <si>
    <t>Test ID</t>
  </si>
  <si>
    <t>Section</t>
  </si>
  <si>
    <t>Title</t>
  </si>
  <si>
    <t>Type</t>
  </si>
  <si>
    <t>Priority</t>
  </si>
  <si>
    <t>Preconditions</t>
  </si>
  <si>
    <t>Test Steps</t>
  </si>
  <si>
    <t>Expected Result</t>
  </si>
  <si>
    <t>Status</t>
  </si>
  <si>
    <t>Notes</t>
  </si>
  <si>
    <t>Req-ID</t>
  </si>
  <si>
    <t>Env.</t>
  </si>
  <si>
    <t>Data</t>
  </si>
  <si>
    <t>INS-001</t>
  </si>
  <si>
    <t>Insights</t>
  </si>
  <si>
    <t>Insights navigation menu opens correctly</t>
  </si>
  <si>
    <t>Functional</t>
  </si>
  <si>
    <t>High</t>
  </si>
  <si>
    <t>User is on the Inflectra homepage.</t>
  </si>
  <si>
    <t>1. Navigate to https://www.inflectra.com/
2. Locate the 'Insights' link in the main navigation bar
3. Click or hover over 'Insights'
4. Observe the dropdown/sub-menu that appears</t>
  </si>
  <si>
    <t>Sub-menu appears with links: Blog, Whitepapers, Topics, Videos, Presentations, Tool Listings.</t>
  </si>
  <si>
    <t>Not Run</t>
  </si>
  <si>
    <t>Web Browser / Desktop</t>
  </si>
  <si>
    <t>INS-002</t>
  </si>
  <si>
    <t>Blog listing page loads and displays articles</t>
  </si>
  <si>
    <t>Browser is open.</t>
  </si>
  <si>
    <t>1. Go to https://www.inflectra.com/Ideas/Entry/
2. Verify the page title is visible
3. Check at least 3 blog articles are listed
4. Confirm each article shows a title, date, and 'Read More' link</t>
  </si>
  <si>
    <t>Page loads successfully. At least 3 articles with title, publish date, and functional 'Read More' links are displayed.</t>
  </si>
  <si>
    <t>INS-003</t>
  </si>
  <si>
    <t>Blog article opens and content is readable</t>
  </si>
  <si>
    <t>User is on the Blog listing page.</t>
  </si>
  <si>
    <t>1. Click 'Read More' on any listed blog article
2. Verify the URL changes to the article-specific URL
3. Check the article title, body content, and publish date are visible
4. Verify the page has navigation back to Insights</t>
  </si>
  <si>
    <t>Full article page loads. Title, body, date, and author are visible. No broken layout or missing content.</t>
  </si>
  <si>
    <t>INS-004</t>
  </si>
  <si>
    <t>Whitepapers page loads and displays whitepapers</t>
  </si>
  <si>
    <t>1. Go to https://www.inflectra.com/Ideas/Whitepapers.aspx
2. Verify the page heading is present
3. Check at least 3 whitepapers are listed with title and thumbnail
4. Click on a whitepaper to open it</t>
  </si>
  <si>
    <t>Page loads. Whitepapers are listed with titles, thumbnails, and dates. Clicking opens the whitepaper detail or PDF.</t>
  </si>
  <si>
    <t>INS-005</t>
  </si>
  <si>
    <t>Videos page loads and video thumbnails display</t>
  </si>
  <si>
    <t>Medium</t>
  </si>
  <si>
    <t>1. Go to https://www.inflectra.com/Ideas/Videos.aspx
2. Wait for the page to fully load
3. Check that video thumbnails or embedded players appear
4. Verify video titles are visible</t>
  </si>
  <si>
    <t>Videos page loads. At least one video thumbnail or embedded player is visible. No JavaScript errors on load.</t>
  </si>
  <si>
    <t>INS-006</t>
  </si>
  <si>
    <t>Presentations page accessible and lists items</t>
  </si>
  <si>
    <t>Low</t>
  </si>
  <si>
    <t>1. Go to https://www.inflectra.com/Ideas/Presentations.aspx
2. Verify the page title and at least one presentation listing
3. Check that each listing has a title and description</t>
  </si>
  <si>
    <t>Page loads successfully with a list of presentations. No broken links or 404 errors.</t>
  </si>
  <si>
    <t>INS-007</t>
  </si>
  <si>
    <t>'Ask an expert' form submits correctly</t>
  </si>
  <si>
    <t>User is on https://www.inflectra.com/Ideas/.</t>
  </si>
  <si>
    <t>1. Scroll to the 'Want to Know More? Ask an Inflectra expert' form
2. Enter a test query in the input field
3. Click the Submit button
4. Observe the response or confirmation message</t>
  </si>
  <si>
    <t>Form accepts text input. On submit, a confirmation message or redirect is shown. No unhandled errors.</t>
  </si>
  <si>
    <t>INS-008</t>
  </si>
  <si>
    <t>RSS/ATOM feed links are functional</t>
  </si>
  <si>
    <t>1. Locate the RSS link near the blog section
2. Click the RSS link
3. Verify the feed URL opens and returns XML content
4. Repeat for the ATOM link</t>
  </si>
  <si>
    <t>Both RSS and ATOM links open a valid XML feed document. No 404 or server errors.</t>
  </si>
  <si>
    <t>INS-009</t>
  </si>
  <si>
    <t>Hot topic tag links navigate to filtered content</t>
  </si>
  <si>
    <t>User is on the Insights page.</t>
  </si>
  <si>
    <t>1. Scroll to the 'Hot Topics' section in the navigation
2. Click the 'Artificial Intelligence' tag
3. Verify the URL changes to the tag-filtered page
4. Check that listed articles are relevant to the clicked tag</t>
  </si>
  <si>
    <t>Page loads tag-filtered content. URL reflects the selected tag. Articles displayed are tagged with the selected topic.</t>
  </si>
  <si>
    <t>SUP-001</t>
  </si>
  <si>
    <t>Support</t>
  </si>
  <si>
    <t>Support navigation menu opens correctly</t>
  </si>
  <si>
    <t>1. Navigate to https://www.inflectra.com/
2. Locate 'Support' in the main navigation bar
3. Click or hover over 'Support'
4. Observe the dropdown</t>
  </si>
  <si>
    <t>Sub-menu appears with links: Knowledge Base, Forum, Help Desk, Videos, Training, InflectraCon.</t>
  </si>
  <si>
    <t>SUP-002</t>
  </si>
  <si>
    <t>Knowledge Base list page loads and displays articles</t>
  </si>
  <si>
    <t>1. Go to https://www.inflectra.com/Support/KnowledgeBase/List.aspx
2. Verify the page heading is present
3. Check that at least one KB article is listed
4. Click on an article to verify it opens correctly</t>
  </si>
  <si>
    <t>Page loads. KB articles are listed with titles. Clicking an article opens its full content. No 404 errors.</t>
  </si>
  <si>
    <t>SUP-003</t>
  </si>
  <si>
    <t>Support Forum list page loads and threads are visible</t>
  </si>
  <si>
    <t>1. Go to https://www.inflectra.com/Support/Forum/List.aspx
2. Verify the forum heading is present
3. Check that forum threads or topics are listed
4. Verify each thread shows a title and category</t>
  </si>
  <si>
    <t>Forum page loads. Discussion threads are visible with titles. No blank page or server error.</t>
  </si>
  <si>
    <t>SUP-004</t>
  </si>
  <si>
    <t>Help Desk redirects unauthenticated users</t>
  </si>
  <si>
    <t>Security / Functional</t>
  </si>
  <si>
    <t>User is NOT logged in.</t>
  </si>
  <si>
    <t>1. Go to https://www.inflectra.com/Support/Ticket/List.aspx
2. Observe the page behaviour
3. Check whether a login prompt or redirect appears
4. Verify no sensitive data is exposed without login</t>
  </si>
  <si>
    <t>Unauthenticated user is redirected to a login page or shown a prompt to log in. No data exposed without authentication.</t>
  </si>
  <si>
    <t>SUP-005</t>
  </si>
  <si>
    <t>Support login page loads and form is functional</t>
  </si>
  <si>
    <t>1. Go to https://www.inflectra.com/Support/Account/Login.aspx
2. Verify the login form is visible with Username/Email and Password fields
3. Enter invalid credentials
4. Click Sign In / Submit
5. Observe the error message</t>
  </si>
  <si>
    <t>Login page loads. Form fields are present. Invalid credentials show a clear error message (not a server error or blank page).</t>
  </si>
  <si>
    <t>SUP-006</t>
  </si>
  <si>
    <t>Support page footer links navigate correctly</t>
  </si>
  <si>
    <t>User is on https://www.inflectra.com/Support/.</t>
  </si>
  <si>
    <t>1. Scroll to the footer of the Support page
2. Click 'Knowledge Base' footer link and verify correct page loads
3. Return and click 'Forum' footer link
4. Verify correct page loads</t>
  </si>
  <si>
    <t>All footer links navigate to the correct destination pages without 404 errors.</t>
  </si>
  <si>
    <t>SUP-007</t>
  </si>
  <si>
    <t>Support section is responsive on mobile viewport</t>
  </si>
  <si>
    <t>UI / Responsive</t>
  </si>
  <si>
    <t>DevTools open in the browser (or use a mobile device).</t>
  </si>
  <si>
    <t>1. Go to https://www.inflectra.com/Support/
2. Open browser DevTools and switch to a 375px wide viewport
3. Verify the navigation collapses to a hamburger or mobile menu
4. Check that all text is readable and no elements are cut off
5. Tap Knowledge Base, Forum, and Help Desk links to verify they are tappable</t>
  </si>
  <si>
    <t>Page renders correctly at 375px. Navigation collapses. All key links are tappable. Text does not overflow or overlap.</t>
  </si>
  <si>
    <t>INS-010</t>
  </si>
  <si>
    <t>Background Topics page loads and displays topic articles</t>
  </si>
  <si>
    <t>1. Go to https://www.inflectra.com/Ideas/Background-Topics.aspx
2. Verify the page heading is present
3. Check that topic articles are listed with titles and thumbnails
4. Click one topic to verify it opens correctly</t>
  </si>
  <si>
    <t>Page loads. Topic articles are listed with titles and thumbnail images. Clicking a topic opens the full article without errors.</t>
  </si>
  <si>
    <t>INS-011</t>
  </si>
  <si>
    <t>Tool Listings page loads and displays tools</t>
  </si>
  <si>
    <t>1. Go to https://www.inflectra.com/tools/
2. Verify the page heading is present
3. Check that tool listings are displayed
4. Verify each tool listing shows a name and description</t>
  </si>
  <si>
    <t>Page loads. Tool listings are visible with names and descriptions. No broken images or 404 errors.</t>
  </si>
  <si>
    <t>INS-012</t>
  </si>
  <si>
    <t>Authors page loads and lists content authors</t>
  </si>
  <si>
    <t>1. Go to https://www.inflectra.com/Ideas/Authors/
2. Verify the page heading is present
3. Check that at least one author is listed
4. Click an author to verify their profile or article list opens</t>
  </si>
  <si>
    <t>Authors page loads. At least one author is displayed. Clicking an author navigates to their profile or filtered content page.</t>
  </si>
  <si>
    <t>INS-013</t>
  </si>
  <si>
    <t>Featured Content categories expand correctly</t>
  </si>
  <si>
    <t>User has opened the Insights dropdown menu from the nav bar.</t>
  </si>
  <si>
    <t>1. Hover over 'Insights' in the main navigation
2. Locate the 'Featured Content' column in the dropdown
3. Click the expand arrow next to 'Agile Methodologies'
4. Verify sub-links appear
5. Repeat for 'Quality Assurance &amp; Testing' and 'Risk Management'</t>
  </si>
  <si>
    <t>Each Featured Content category expands to reveal sub-links. Sub-links are clickable and navigate to the correct pages.</t>
  </si>
  <si>
    <t>INS-014</t>
  </si>
  <si>
    <t>Hot Topics tags navigate to correctly filtered pages</t>
  </si>
  <si>
    <t>User has opened the Insights dropdown menu.</t>
  </si>
  <si>
    <t>1. Hover over 'Insights' in the main navigation
2. Locate the 'Hot Topics' column
3. Click 'Agile Development'
4. Verify the URL and page content are filtered to Agile Development
5. Return and repeat for 'Webinars' and 'Conferences'</t>
  </si>
  <si>
    <t>Each Hot Topics link navigates to a correctly filtered content page. URL reflects the selected tag. Page content is relevant.</t>
  </si>
  <si>
    <t>INS-015</t>
  </si>
  <si>
    <t>Insights dropdown closes when clicking outside</t>
  </si>
  <si>
    <t>Insights dropdown is open in the browser.</t>
  </si>
  <si>
    <t>1. Hover over 'Insights' to open the dropdown
2. Move the mouse outside the dropdown area and click on an empty area of the page
3. Observe whether the dropdown closes</t>
  </si>
  <si>
    <t>The Insights dropdown closes when the user clicks outside of it. No overlay remains on the page.</t>
  </si>
  <si>
    <t>INS-016</t>
  </si>
  <si>
    <t>All Resources links in Insights dropdown are functional</t>
  </si>
  <si>
    <t>1. Hover over 'Insights' to open the dropdown
2. Click 'Blog' — verify it loads the blog listing page
3. Return and click 'Whitepapers' — verify correct page
4. Return and click 'Background Topics' — verify correct page
5. Return and click 'Videos' — verify correct page
6. Return and click 'Presentations' — verify correct page
7. Return and click 'Tool Listings' — verify correct page
8. Return and click 'Authors' — verify correct page</t>
  </si>
  <si>
    <t>All 7 Resource links in the Insights dropdown navigate to their correct destination pages. No 404 errors or blank pages.</t>
  </si>
  <si>
    <t>SUP-008</t>
  </si>
  <si>
    <t>Support dropdown description text is visible and accurate</t>
  </si>
  <si>
    <t>1. Hover over 'Support' in the main navigation bar
2. Verify the dropdown opens
3. Read the description text at the top of the dropdown
4. Confirm it mentions: knowledge base, customer forums, and helpdesk
5. Confirm a 'support policy' hyperlink is present within the text</t>
  </si>
  <si>
    <t>Dropdown opens. Description text reads correctly mentioning knowledge base, forums, and helpdesk. The 'support policy' link is visible and clickable.</t>
  </si>
  <si>
    <t>SUP-009</t>
  </si>
  <si>
    <t>Support policy link in dropdown navigates correctly</t>
  </si>
  <si>
    <t>Support dropdown is open in the browser.</t>
  </si>
  <si>
    <t>1. Hover over 'Support' to open the dropdown
2. Locate the 'support policy' hyperlink in the description text
3. Click the 'support policy' link
4. Verify the correct page loads</t>
  </si>
  <si>
    <t>Clicking 'support policy' navigates to the support policy page (KB1.aspx or equivalent). No 404 error. Page content describes the support policy.</t>
  </si>
  <si>
    <t>SUP-010</t>
  </si>
  <si>
    <t>Knowledge Base section title and description display correctly</t>
  </si>
  <si>
    <t>UI</t>
  </si>
  <si>
    <t>1. Hover over 'Support' to open the dropdown
2. Locate the 'Knowledge Base' column
3. Verify the section title 'Knowledge Base' is visible in yellow/gold color
4. Verify the description text below it is readable
5. Confirm it mentions 'support articles written by Inflectra's customer support specialists'</t>
  </si>
  <si>
    <t>Knowledge Base title is displayed in the correct brand color. Description text is fully visible and matches expected content.</t>
  </si>
  <si>
    <t>SUP-011</t>
  </si>
  <si>
    <t>Knowledge Base title is clickable and navigates correctly</t>
  </si>
  <si>
    <t>1. Hover over 'Support' to open the dropdown
2. Click the 'Knowledge Base' title link
3. Verify the URL changes to the Knowledge Base list page
4. Verify the page loads with a list of KB articles</t>
  </si>
  <si>
    <t>Clicking 'Knowledge Base' navigates to https://www.inflectra.com/Support/KnowledgeBase/List.aspx. Page loads with KB articles listed.</t>
  </si>
  <si>
    <t>SUP-012</t>
  </si>
  <si>
    <t>Forums section title and description display correctly</t>
  </si>
  <si>
    <t>1. Hover over 'Support' to open the dropdown
2. Locate the 'Forums' column
3. Verify the title 'Forums' is visible in yellow/gold color
4. Verify the description mentions 'tips, discussions, and technical solutions'
5. Confirm it references 'fellow customers and Inflectra's technical experts'</t>
  </si>
  <si>
    <t>Forums title is displayed in the correct brand color. Description text is fully visible and matches expected content.</t>
  </si>
  <si>
    <t>SUP-013</t>
  </si>
  <si>
    <t>Forums title is clickable and navigates correctly</t>
  </si>
  <si>
    <t>1. Hover over 'Support' to open the dropdown
2. Click the 'Forums' title link
3. Verify the URL changes to the Forums list page
4. Verify the page loads with forum threads</t>
  </si>
  <si>
    <t>Clicking 'Forums' navigates to https://www.inflectra.com/Support/Forum/List.aspx. Page loads with forum threads listed.</t>
  </si>
  <si>
    <t>SUP-014</t>
  </si>
  <si>
    <t>Help Desk section title and description display correctly</t>
  </si>
  <si>
    <t>1. Hover over 'Support' to open the dropdown
2. Locate the 'Help Desk' column
3. Verify the title 'Help Desk' is visible in yellow/gold color
4. Verify the description mentions contact via 'email, phone, or online'</t>
  </si>
  <si>
    <t>Help Desk title is displayed in the correct brand color. Description text is fully visible and matches expected content including contact options.</t>
  </si>
  <si>
    <t>SUP-015</t>
  </si>
  <si>
    <t>Help Desk title is clickable and navigates correctly</t>
  </si>
  <si>
    <t>1. Hover over 'Support' to open the dropdown
2. Click the 'Help Desk' title link
3. Verify the URL changes to the Help Desk ticket page
4. Observe the page behaviour (login required or ticket list shown)</t>
  </si>
  <si>
    <t>Clicking 'Help Desk' navigates to https://www.inflectra.com/Support/Ticket/List.aspx. Page either shows tickets (if logged in) or prompts for login.</t>
  </si>
  <si>
    <t>SUP-016</t>
  </si>
  <si>
    <t>Support dropdown closes when clicking outside</t>
  </si>
  <si>
    <t>1. Hover over 'Support' to open the dropdown
2. Move the mouse outside the dropdown and click on an empty area of the page
3. Observe whether the dropdown closes</t>
  </si>
  <si>
    <t>The Support dropdown closes when the user clicks outside of it. No overlay or dropdown panel remains on screen.</t>
  </si>
  <si>
    <t>SUP-017</t>
  </si>
  <si>
    <t>Support dropdown layout is visually correct (3 columns)</t>
  </si>
  <si>
    <t>User is on the Inflectra homepage on a desktop browser (min width 1024px).</t>
  </si>
  <si>
    <t>1. Hover over 'Support' to open the dropdown
2. Verify the dropdown contains exactly 3 columns: Knowledge Base, Forums, Help Desk
3. Check that all three column titles are in the correct brand yellow/gold color
4. Verify no column content overlaps or is cut off
5. Check the close (X) button is visible in the top-right corner of the dropdown</t>
  </si>
  <si>
    <t>Dropdown displays 3 evenly-spaced columns. All titles are in brand yellow color. Description text is fully visible with no overlap. Close (X) button is visible.</t>
  </si>
  <si>
    <t>SUP-018</t>
  </si>
  <si>
    <t>Support dropdown close (X) button works</t>
  </si>
  <si>
    <t>1. Hover over 'Support' to open the dropdown
2. Locate the X button in the top-right corner of the dropdown
3. Click the X button
4. Observe whether the dropdown closes</t>
  </si>
  <si>
    <t>Clicking the X button closes the Support dropdown. The page behind is fully visible with no residual overlay.</t>
  </si>
  <si>
    <t>Test Suite Summary</t>
  </si>
  <si>
    <t>Metric</t>
  </si>
  <si>
    <t>Count</t>
  </si>
  <si>
    <t>Total Test Cases</t>
  </si>
  <si>
    <t>All test cases</t>
  </si>
  <si>
    <t>Insights Tests</t>
  </si>
  <si>
    <t>Support Tests</t>
  </si>
  <si>
    <t>High Priority</t>
  </si>
  <si>
    <t>Medium Priority</t>
  </si>
  <si>
    <t>Low Priority</t>
  </si>
  <si>
    <t>Pass</t>
  </si>
  <si>
    <t>Fail</t>
  </si>
  <si>
    <t>Blocked</t>
  </si>
  <si>
    <t>Passed</t>
  </si>
  <si>
    <t>REQ-01</t>
  </si>
  <si>
    <t>REQ-02</t>
  </si>
  <si>
    <t>REQ-03</t>
  </si>
  <si>
    <t>REQ-04</t>
  </si>
  <si>
    <t>REQ-05</t>
  </si>
  <si>
    <t>REQ-06</t>
  </si>
  <si>
    <t>REQ-07</t>
  </si>
  <si>
    <t>REQ-08</t>
  </si>
  <si>
    <t>REQ-09</t>
  </si>
  <si>
    <t>REQ-10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</si>
</sst>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4"/>
      <color rgb="FFFFFFFF"/>
      <name val="Arial"/>
      <charset val="1"/>
    </font>
    <font>
      <b/>
      <sz val="11"/>
      <color rgb="FFFFFFFF"/>
      <name val="Arial"/>
      <charset val="1"/>
    </font>
    <font>
      <sz val="10"/>
      <name val="Arial"/>
      <charset val="1"/>
    </font>
    <font>
      <b/>
      <sz val="10"/>
      <name val="Arial"/>
      <charset val="1"/>
    </font>
    <font>
      <sz val="11"/>
      <name val="Arial"/>
      <charset val="1"/>
    </font>
    <font>
      <sz val="14"/>
      <color rgb="FFFFFFFF"/>
      <name val="Arial"/>
      <family val="2"/>
    </font>
    <font>
      <sz val="11"/>
      <color rgb="FFFFFFFF"/>
      <name val="Arial"/>
      <family val="2"/>
    </font>
    <font>
      <sz val="10"/>
      <name val="Arial"/>
      <family val="2"/>
    </font>
  </fonts>
  <fills count="8">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FFFFF"/>
        <bgColor rgb="FFF7F9FC"/>
      </patternFill>
    </fill>
    <fill>
      <patternFill patternType="solid">
        <fgColor rgb="FFD6E4F0"/>
        <bgColor rgb="FFD5E8D4"/>
      </patternFill>
    </fill>
    <fill>
      <patternFill patternType="solid">
        <fgColor rgb="FFF7F9FC"/>
        <bgColor rgb="FFFFFFFF"/>
      </patternFill>
    </fill>
    <fill>
      <patternFill patternType="solid">
        <fgColor rgb="FFD5E8D4"/>
        <bgColor rgb="FFD6E4F0"/>
      </patternFill>
    </fill>
  </fills>
  <borders count="3">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style="thin">
        <color rgb="FFBBBBBB"/>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4" borderId="1" xfId="0" applyFont="1" applyFill="1" applyBorder="1" applyAlignment="1">
      <alignment vertical="top" wrapText="1"/>
    </xf>
    <xf numFmtId="0" fontId="4" fillId="5" borderId="1" xfId="0" applyFont="1" applyFill="1" applyBorder="1" applyAlignment="1">
      <alignment vertical="top" wrapText="1"/>
    </xf>
    <xf numFmtId="0" fontId="3" fillId="4" borderId="1" xfId="0" applyFont="1" applyFill="1" applyBorder="1" applyAlignment="1">
      <alignment horizontal="center" vertical="top"/>
    </xf>
    <xf numFmtId="0" fontId="3" fillId="4"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3" fillId="6" borderId="1" xfId="0" applyFont="1" applyFill="1" applyBorder="1" applyAlignment="1">
      <alignment vertical="top" wrapText="1"/>
    </xf>
    <xf numFmtId="0" fontId="3" fillId="6" borderId="1" xfId="0" applyFont="1" applyFill="1" applyBorder="1" applyAlignment="1">
      <alignment horizontal="left" vertical="top" wrapText="1"/>
    </xf>
    <xf numFmtId="0" fontId="3" fillId="6" borderId="1" xfId="0" applyFont="1" applyFill="1" applyBorder="1" applyAlignment="1">
      <alignment horizontal="center" vertical="top" wrapText="1"/>
    </xf>
    <xf numFmtId="0" fontId="4" fillId="7" borderId="1" xfId="0" applyFont="1" applyFill="1" applyBorder="1" applyAlignment="1">
      <alignment vertical="top" wrapText="1"/>
    </xf>
    <xf numFmtId="0" fontId="2" fillId="3" borderId="1" xfId="0" applyFont="1" applyFill="1" applyBorder="1" applyAlignment="1">
      <alignment horizontal="center"/>
    </xf>
    <xf numFmtId="0" fontId="5" fillId="4" borderId="1" xfId="0" applyFont="1" applyFill="1" applyBorder="1" applyAlignment="1">
      <alignment horizontal="left" vertical="center"/>
    </xf>
    <xf numFmtId="0" fontId="5" fillId="4" borderId="1" xfId="0" applyFont="1" applyFill="1" applyBorder="1" applyAlignment="1">
      <alignment horizontal="center" vertical="center"/>
    </xf>
    <xf numFmtId="0" fontId="5" fillId="6" borderId="1" xfId="0" applyFont="1" applyFill="1" applyBorder="1" applyAlignment="1">
      <alignment horizontal="left" vertical="center"/>
    </xf>
    <xf numFmtId="0" fontId="5" fillId="6" borderId="1" xfId="0" applyFont="1" applyFill="1" applyBorder="1" applyAlignment="1">
      <alignment horizontal="center" vertical="center"/>
    </xf>
    <xf numFmtId="0" fontId="3" fillId="4" borderId="2" xfId="0" applyFont="1" applyFill="1" applyBorder="1" applyAlignment="1">
      <alignment horizontal="left" vertical="top" wrapText="1"/>
    </xf>
    <xf numFmtId="0" fontId="3" fillId="6" borderId="2" xfId="0" applyFont="1" applyFill="1" applyBorder="1" applyAlignment="1">
      <alignment horizontal="left" vertical="top" wrapText="1"/>
    </xf>
    <xf numFmtId="0" fontId="4" fillId="0" borderId="1" xfId="0" applyFont="1" applyFill="1" applyBorder="1" applyAlignment="1">
      <alignment horizontal="center" vertical="top"/>
    </xf>
    <xf numFmtId="0" fontId="6" fillId="0" borderId="0" xfId="0" applyFont="1" applyFill="1" applyAlignment="1">
      <alignment horizontal="center" vertical="center"/>
    </xf>
    <xf numFmtId="0" fontId="7" fillId="0" borderId="1" xfId="0" applyFont="1" applyFill="1" applyBorder="1" applyAlignment="1">
      <alignment horizontal="center" vertical="center" wrapText="1"/>
    </xf>
    <xf numFmtId="0" fontId="8" fillId="0" borderId="1" xfId="0" applyFont="1" applyFill="1" applyBorder="1" applyAlignment="1">
      <alignment horizontal="left" vertical="top" wrapText="1"/>
    </xf>
    <xf numFmtId="0" fontId="8" fillId="0" borderId="1" xfId="0" applyFont="1" applyFill="1" applyBorder="1" applyAlignment="1">
      <alignment horizontal="center" vertical="top" wrapText="1"/>
    </xf>
    <xf numFmtId="0" fontId="8" fillId="4" borderId="2" xfId="0" applyFont="1" applyFill="1" applyBorder="1" applyAlignment="1">
      <alignment horizontal="left" vertical="top" wrapText="1"/>
    </xf>
    <xf numFmtId="0" fontId="8" fillId="6"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3CD"/>
      <rgbColor rgb="FFD5E8D4"/>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7F9FC"/>
      <rgbColor rgb="FFD5F5D5"/>
      <rgbColor rgb="FFFFFF99"/>
      <rgbColor rgb="FF99CCFF"/>
      <rgbColor rgb="FFFF99CC"/>
      <rgbColor rgb="FFCC99FF"/>
      <rgbColor rgb="FFFFDCE1"/>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
  <sheetViews>
    <sheetView tabSelected="1" zoomScale="78" zoomScaleNormal="54" workbookViewId="0">
      <pane ySplit="2" topLeftCell="A8" activePane="bottomLeft" state="frozen"/>
      <selection pane="bottomLeft" activeCell="A13" sqref="A13"/>
    </sheetView>
  </sheetViews>
  <sheetFormatPr defaultColWidth="8.6328125" defaultRowHeight="14.5" x14ac:dyDescent="0.35"/>
  <cols>
    <col min="1" max="2" width="10" customWidth="1"/>
    <col min="3" max="3" width="32" customWidth="1"/>
    <col min="4" max="4" width="18" customWidth="1"/>
    <col min="5" max="5" width="10" customWidth="1"/>
    <col min="6" max="6" width="28" customWidth="1"/>
    <col min="7" max="7" width="48" customWidth="1"/>
    <col min="8" max="8" width="42" customWidth="1"/>
    <col min="9" max="9" width="26.36328125" bestFit="1" customWidth="1"/>
    <col min="10" max="10" width="18" customWidth="1"/>
    <col min="11" max="11" width="12" customWidth="1"/>
    <col min="12" max="12" width="10" customWidth="1"/>
    <col min="13" max="13" width="24" customWidth="1"/>
    <col min="14" max="14" width="16" customWidth="1"/>
    <col min="15" max="15" width="24" customWidth="1"/>
  </cols>
  <sheetData>
    <row r="1" spans="1:16" ht="30" customHeight="1" x14ac:dyDescent="0.35">
      <c r="A1" s="20"/>
      <c r="B1" s="20"/>
      <c r="C1" s="20"/>
      <c r="D1" s="20"/>
      <c r="E1" s="20"/>
      <c r="F1" s="20"/>
      <c r="G1" s="20"/>
      <c r="H1" s="20"/>
      <c r="I1" s="20"/>
      <c r="J1" s="20"/>
    </row>
    <row r="2" spans="1:16" ht="21.75" customHeight="1" x14ac:dyDescent="0.35">
      <c r="A2" s="2" t="s">
        <v>10</v>
      </c>
      <c r="B2" s="2" t="s">
        <v>0</v>
      </c>
      <c r="C2" s="2" t="s">
        <v>1</v>
      </c>
      <c r="D2" s="2" t="s">
        <v>2</v>
      </c>
      <c r="E2" s="2" t="s">
        <v>3</v>
      </c>
      <c r="F2" s="2" t="s">
        <v>4</v>
      </c>
      <c r="G2" s="2" t="s">
        <v>5</v>
      </c>
      <c r="H2" s="2" t="s">
        <v>6</v>
      </c>
      <c r="I2" s="2" t="s">
        <v>7</v>
      </c>
      <c r="J2" s="2" t="s">
        <v>8</v>
      </c>
      <c r="K2" s="2" t="s">
        <v>11</v>
      </c>
      <c r="L2" s="2" t="s">
        <v>12</v>
      </c>
      <c r="M2" s="21"/>
      <c r="P2" s="21"/>
    </row>
    <row r="3" spans="1:16" ht="90" customHeight="1" x14ac:dyDescent="0.35">
      <c r="A3" s="24" t="s">
        <v>187</v>
      </c>
      <c r="B3" s="3" t="s">
        <v>13</v>
      </c>
      <c r="C3" s="4" t="s">
        <v>14</v>
      </c>
      <c r="D3" s="3" t="s">
        <v>15</v>
      </c>
      <c r="E3" s="3" t="s">
        <v>16</v>
      </c>
      <c r="F3" s="19" t="s">
        <v>17</v>
      </c>
      <c r="G3" s="3" t="s">
        <v>18</v>
      </c>
      <c r="H3" s="3" t="s">
        <v>19</v>
      </c>
      <c r="I3" s="3" t="s">
        <v>20</v>
      </c>
      <c r="J3" s="5" t="s">
        <v>186</v>
      </c>
      <c r="K3" s="7" t="s">
        <v>22</v>
      </c>
      <c r="L3" s="6"/>
      <c r="M3" s="23"/>
      <c r="P3" s="22"/>
    </row>
    <row r="4" spans="1:16" ht="90" customHeight="1" x14ac:dyDescent="0.35">
      <c r="A4" s="25" t="s">
        <v>188</v>
      </c>
      <c r="B4" s="8" t="s">
        <v>23</v>
      </c>
      <c r="C4" s="4" t="s">
        <v>14</v>
      </c>
      <c r="D4" s="8" t="s">
        <v>24</v>
      </c>
      <c r="E4" s="8" t="s">
        <v>16</v>
      </c>
      <c r="F4" s="19" t="s">
        <v>17</v>
      </c>
      <c r="G4" s="8" t="s">
        <v>25</v>
      </c>
      <c r="H4" s="8" t="s">
        <v>26</v>
      </c>
      <c r="I4" s="8" t="s">
        <v>27</v>
      </c>
      <c r="J4" s="5" t="s">
        <v>186</v>
      </c>
      <c r="K4" s="10" t="s">
        <v>22</v>
      </c>
      <c r="L4" s="9"/>
      <c r="M4" s="23"/>
      <c r="P4" s="22"/>
    </row>
    <row r="5" spans="1:16" ht="90" customHeight="1" x14ac:dyDescent="0.35">
      <c r="A5" s="24" t="s">
        <v>189</v>
      </c>
      <c r="B5" s="3" t="s">
        <v>28</v>
      </c>
      <c r="C5" s="4" t="s">
        <v>14</v>
      </c>
      <c r="D5" s="3" t="s">
        <v>29</v>
      </c>
      <c r="E5" s="3" t="s">
        <v>16</v>
      </c>
      <c r="F5" s="19" t="s">
        <v>17</v>
      </c>
      <c r="G5" s="3" t="s">
        <v>30</v>
      </c>
      <c r="H5" s="3" t="s">
        <v>31</v>
      </c>
      <c r="I5" s="3" t="s">
        <v>32</v>
      </c>
      <c r="J5" s="5" t="s">
        <v>186</v>
      </c>
      <c r="K5" s="7" t="s">
        <v>22</v>
      </c>
      <c r="L5" s="6"/>
      <c r="M5" s="23"/>
      <c r="P5" s="22"/>
    </row>
    <row r="6" spans="1:16" ht="90" customHeight="1" x14ac:dyDescent="0.35">
      <c r="A6" s="25" t="s">
        <v>190</v>
      </c>
      <c r="B6" s="8" t="s">
        <v>33</v>
      </c>
      <c r="C6" s="4" t="s">
        <v>14</v>
      </c>
      <c r="D6" s="8" t="s">
        <v>34</v>
      </c>
      <c r="E6" s="8" t="s">
        <v>16</v>
      </c>
      <c r="F6" s="19" t="s">
        <v>17</v>
      </c>
      <c r="G6" s="8" t="s">
        <v>25</v>
      </c>
      <c r="H6" s="8" t="s">
        <v>35</v>
      </c>
      <c r="I6" s="8" t="s">
        <v>36</v>
      </c>
      <c r="J6" s="5" t="s">
        <v>186</v>
      </c>
      <c r="K6" s="10" t="s">
        <v>22</v>
      </c>
      <c r="L6" s="9"/>
      <c r="M6" s="23"/>
      <c r="P6" s="22"/>
    </row>
    <row r="7" spans="1:16" ht="90" customHeight="1" x14ac:dyDescent="0.35">
      <c r="A7" s="24" t="s">
        <v>191</v>
      </c>
      <c r="B7" s="3" t="s">
        <v>37</v>
      </c>
      <c r="C7" s="4" t="s">
        <v>14</v>
      </c>
      <c r="D7" s="3" t="s">
        <v>38</v>
      </c>
      <c r="E7" s="3" t="s">
        <v>16</v>
      </c>
      <c r="F7" s="19" t="s">
        <v>39</v>
      </c>
      <c r="G7" s="3" t="s">
        <v>25</v>
      </c>
      <c r="H7" s="3" t="s">
        <v>40</v>
      </c>
      <c r="I7" s="3" t="s">
        <v>41</v>
      </c>
      <c r="J7" s="5" t="s">
        <v>186</v>
      </c>
      <c r="K7" s="7" t="s">
        <v>22</v>
      </c>
      <c r="L7" s="6"/>
      <c r="M7" s="23"/>
      <c r="P7" s="22"/>
    </row>
    <row r="8" spans="1:16" ht="90" customHeight="1" x14ac:dyDescent="0.35">
      <c r="A8" s="25" t="s">
        <v>192</v>
      </c>
      <c r="B8" s="8" t="s">
        <v>42</v>
      </c>
      <c r="C8" s="4" t="s">
        <v>14</v>
      </c>
      <c r="D8" s="8" t="s">
        <v>43</v>
      </c>
      <c r="E8" s="8" t="s">
        <v>16</v>
      </c>
      <c r="F8" s="19" t="s">
        <v>44</v>
      </c>
      <c r="G8" s="8" t="s">
        <v>25</v>
      </c>
      <c r="H8" s="8" t="s">
        <v>45</v>
      </c>
      <c r="I8" s="8" t="s">
        <v>46</v>
      </c>
      <c r="J8" s="5" t="s">
        <v>186</v>
      </c>
      <c r="K8" s="10" t="s">
        <v>22</v>
      </c>
      <c r="L8" s="9"/>
      <c r="M8" s="23"/>
      <c r="P8" s="22"/>
    </row>
    <row r="9" spans="1:16" ht="90" customHeight="1" x14ac:dyDescent="0.35">
      <c r="A9" s="24" t="s">
        <v>193</v>
      </c>
      <c r="B9" s="3" t="s">
        <v>47</v>
      </c>
      <c r="C9" s="4" t="s">
        <v>14</v>
      </c>
      <c r="D9" s="3" t="s">
        <v>48</v>
      </c>
      <c r="E9" s="3" t="s">
        <v>16</v>
      </c>
      <c r="F9" s="19" t="s">
        <v>39</v>
      </c>
      <c r="G9" s="3" t="s">
        <v>49</v>
      </c>
      <c r="H9" s="3" t="s">
        <v>50</v>
      </c>
      <c r="I9" s="3" t="s">
        <v>51</v>
      </c>
      <c r="J9" s="5" t="s">
        <v>186</v>
      </c>
      <c r="K9" s="7" t="s">
        <v>22</v>
      </c>
      <c r="L9" s="6"/>
      <c r="M9" s="23"/>
      <c r="P9" s="22"/>
    </row>
    <row r="10" spans="1:16" ht="90" customHeight="1" x14ac:dyDescent="0.35">
      <c r="A10" s="25" t="s">
        <v>194</v>
      </c>
      <c r="B10" s="8" t="s">
        <v>52</v>
      </c>
      <c r="C10" s="4" t="s">
        <v>14</v>
      </c>
      <c r="D10" s="8" t="s">
        <v>53</v>
      </c>
      <c r="E10" s="8" t="s">
        <v>16</v>
      </c>
      <c r="F10" s="19" t="s">
        <v>44</v>
      </c>
      <c r="G10" s="8" t="s">
        <v>49</v>
      </c>
      <c r="H10" s="8" t="s">
        <v>54</v>
      </c>
      <c r="I10" s="8" t="s">
        <v>55</v>
      </c>
      <c r="J10" s="5" t="s">
        <v>186</v>
      </c>
      <c r="K10" s="10" t="s">
        <v>22</v>
      </c>
      <c r="L10" s="9"/>
      <c r="M10" s="23"/>
      <c r="P10" s="22"/>
    </row>
    <row r="11" spans="1:16" ht="90" customHeight="1" x14ac:dyDescent="0.35">
      <c r="A11" s="24" t="s">
        <v>195</v>
      </c>
      <c r="B11" s="3" t="s">
        <v>56</v>
      </c>
      <c r="C11" s="4" t="s">
        <v>14</v>
      </c>
      <c r="D11" s="3" t="s">
        <v>57</v>
      </c>
      <c r="E11" s="3" t="s">
        <v>16</v>
      </c>
      <c r="F11" s="19" t="s">
        <v>39</v>
      </c>
      <c r="G11" s="3" t="s">
        <v>58</v>
      </c>
      <c r="H11" s="3" t="s">
        <v>59</v>
      </c>
      <c r="I11" s="3" t="s">
        <v>60</v>
      </c>
      <c r="J11" s="5" t="s">
        <v>186</v>
      </c>
      <c r="K11" s="7" t="s">
        <v>22</v>
      </c>
      <c r="L11" s="6"/>
      <c r="M11" s="23"/>
      <c r="P11" s="22"/>
    </row>
    <row r="12" spans="1:16" ht="90" customHeight="1" x14ac:dyDescent="0.35">
      <c r="A12" s="25" t="s">
        <v>196</v>
      </c>
      <c r="B12" s="8" t="s">
        <v>61</v>
      </c>
      <c r="C12" s="11" t="s">
        <v>62</v>
      </c>
      <c r="D12" s="8" t="s">
        <v>63</v>
      </c>
      <c r="E12" s="8" t="s">
        <v>16</v>
      </c>
      <c r="F12" s="19" t="s">
        <v>17</v>
      </c>
      <c r="G12" s="8" t="s">
        <v>18</v>
      </c>
      <c r="H12" s="8" t="s">
        <v>64</v>
      </c>
      <c r="I12" s="8" t="s">
        <v>65</v>
      </c>
      <c r="J12" s="5" t="s">
        <v>186</v>
      </c>
      <c r="K12" s="10" t="s">
        <v>22</v>
      </c>
      <c r="L12" s="9"/>
      <c r="M12" s="23"/>
      <c r="P12" s="22"/>
    </row>
    <row r="13" spans="1:16" ht="90" customHeight="1" x14ac:dyDescent="0.35">
      <c r="A13" s="17"/>
      <c r="B13" s="3" t="s">
        <v>66</v>
      </c>
      <c r="C13" s="11" t="s">
        <v>62</v>
      </c>
      <c r="D13" s="3" t="s">
        <v>67</v>
      </c>
      <c r="E13" s="3" t="s">
        <v>16</v>
      </c>
      <c r="F13" s="19" t="s">
        <v>17</v>
      </c>
      <c r="G13" s="3" t="s">
        <v>25</v>
      </c>
      <c r="H13" s="3" t="s">
        <v>68</v>
      </c>
      <c r="I13" s="3" t="s">
        <v>69</v>
      </c>
      <c r="J13" s="5" t="s">
        <v>186</v>
      </c>
      <c r="K13" s="7" t="s">
        <v>22</v>
      </c>
      <c r="L13" s="6"/>
      <c r="M13" s="23"/>
      <c r="P13" s="22"/>
    </row>
    <row r="14" spans="1:16" ht="90" customHeight="1" x14ac:dyDescent="0.35">
      <c r="A14" s="18"/>
      <c r="B14" s="8" t="s">
        <v>70</v>
      </c>
      <c r="C14" s="11" t="s">
        <v>62</v>
      </c>
      <c r="D14" s="8" t="s">
        <v>71</v>
      </c>
      <c r="E14" s="8" t="s">
        <v>16</v>
      </c>
      <c r="F14" s="19" t="s">
        <v>17</v>
      </c>
      <c r="G14" s="8" t="s">
        <v>25</v>
      </c>
      <c r="H14" s="8" t="s">
        <v>72</v>
      </c>
      <c r="I14" s="8" t="s">
        <v>73</v>
      </c>
      <c r="J14" s="5" t="s">
        <v>186</v>
      </c>
      <c r="K14" s="10" t="s">
        <v>22</v>
      </c>
      <c r="L14" s="9"/>
      <c r="M14" s="23"/>
      <c r="P14" s="22"/>
    </row>
    <row r="15" spans="1:16" ht="90" customHeight="1" x14ac:dyDescent="0.35">
      <c r="A15" s="17"/>
      <c r="B15" s="3" t="s">
        <v>74</v>
      </c>
      <c r="C15" s="11" t="s">
        <v>62</v>
      </c>
      <c r="D15" s="3" t="s">
        <v>75</v>
      </c>
      <c r="E15" s="3" t="s">
        <v>76</v>
      </c>
      <c r="F15" s="19" t="s">
        <v>39</v>
      </c>
      <c r="G15" s="3" t="s">
        <v>77</v>
      </c>
      <c r="H15" s="3" t="s">
        <v>78</v>
      </c>
      <c r="I15" s="3" t="s">
        <v>79</v>
      </c>
      <c r="J15" s="5" t="s">
        <v>186</v>
      </c>
      <c r="K15" s="7" t="s">
        <v>22</v>
      </c>
      <c r="L15" s="6"/>
      <c r="M15" s="23"/>
      <c r="P15" s="22"/>
    </row>
    <row r="16" spans="1:16" ht="90" customHeight="1" x14ac:dyDescent="0.35">
      <c r="A16" s="18"/>
      <c r="B16" s="8" t="s">
        <v>80</v>
      </c>
      <c r="C16" s="11" t="s">
        <v>62</v>
      </c>
      <c r="D16" s="8" t="s">
        <v>81</v>
      </c>
      <c r="E16" s="8" t="s">
        <v>16</v>
      </c>
      <c r="F16" s="19" t="s">
        <v>39</v>
      </c>
      <c r="G16" s="8" t="s">
        <v>25</v>
      </c>
      <c r="H16" s="8" t="s">
        <v>82</v>
      </c>
      <c r="I16" s="8" t="s">
        <v>83</v>
      </c>
      <c r="J16" s="5" t="s">
        <v>186</v>
      </c>
      <c r="K16" s="10" t="s">
        <v>22</v>
      </c>
      <c r="L16" s="9"/>
      <c r="M16" s="23"/>
      <c r="P16" s="22"/>
    </row>
    <row r="17" spans="1:16" ht="90" customHeight="1" x14ac:dyDescent="0.35">
      <c r="A17" s="17"/>
      <c r="B17" s="3" t="s">
        <v>84</v>
      </c>
      <c r="C17" s="11" t="s">
        <v>62</v>
      </c>
      <c r="D17" s="3" t="s">
        <v>85</v>
      </c>
      <c r="E17" s="3" t="s">
        <v>16</v>
      </c>
      <c r="F17" s="19" t="s">
        <v>39</v>
      </c>
      <c r="G17" s="3" t="s">
        <v>86</v>
      </c>
      <c r="H17" s="3" t="s">
        <v>87</v>
      </c>
      <c r="I17" s="3" t="s">
        <v>88</v>
      </c>
      <c r="J17" s="5" t="s">
        <v>186</v>
      </c>
      <c r="K17" s="7" t="s">
        <v>22</v>
      </c>
      <c r="L17" s="6"/>
      <c r="M17" s="23"/>
      <c r="P17" s="22"/>
    </row>
    <row r="18" spans="1:16" ht="90" customHeight="1" x14ac:dyDescent="0.35">
      <c r="A18" s="18"/>
      <c r="B18" s="8" t="s">
        <v>89</v>
      </c>
      <c r="C18" s="11" t="s">
        <v>62</v>
      </c>
      <c r="D18" s="8" t="s">
        <v>90</v>
      </c>
      <c r="E18" s="8" t="s">
        <v>91</v>
      </c>
      <c r="F18" s="19" t="s">
        <v>39</v>
      </c>
      <c r="G18" s="8" t="s">
        <v>92</v>
      </c>
      <c r="H18" s="8" t="s">
        <v>93</v>
      </c>
      <c r="I18" s="8" t="s">
        <v>94</v>
      </c>
      <c r="J18" s="5" t="s">
        <v>186</v>
      </c>
      <c r="K18" s="10" t="s">
        <v>22</v>
      </c>
      <c r="L18" s="9"/>
      <c r="M18" s="23"/>
      <c r="P18" s="22"/>
    </row>
    <row r="19" spans="1:16" ht="90" customHeight="1" x14ac:dyDescent="0.35">
      <c r="A19" s="17"/>
      <c r="B19" s="3" t="s">
        <v>95</v>
      </c>
      <c r="C19" s="4" t="s">
        <v>14</v>
      </c>
      <c r="D19" s="3" t="s">
        <v>96</v>
      </c>
      <c r="E19" s="3" t="s">
        <v>16</v>
      </c>
      <c r="F19" s="19" t="s">
        <v>39</v>
      </c>
      <c r="G19" s="3" t="s">
        <v>25</v>
      </c>
      <c r="H19" s="3" t="s">
        <v>97</v>
      </c>
      <c r="I19" s="3" t="s">
        <v>98</v>
      </c>
      <c r="J19" s="5" t="s">
        <v>186</v>
      </c>
      <c r="K19" s="7" t="s">
        <v>22</v>
      </c>
      <c r="L19" s="6"/>
      <c r="M19" s="23"/>
      <c r="P19" s="22"/>
    </row>
    <row r="20" spans="1:16" ht="90" customHeight="1" x14ac:dyDescent="0.35">
      <c r="A20" s="18"/>
      <c r="B20" s="8" t="s">
        <v>99</v>
      </c>
      <c r="C20" s="4" t="s">
        <v>14</v>
      </c>
      <c r="D20" s="8" t="s">
        <v>100</v>
      </c>
      <c r="E20" s="8" t="s">
        <v>16</v>
      </c>
      <c r="F20" s="19" t="s">
        <v>39</v>
      </c>
      <c r="G20" s="8" t="s">
        <v>25</v>
      </c>
      <c r="H20" s="8" t="s">
        <v>101</v>
      </c>
      <c r="I20" s="8" t="s">
        <v>102</v>
      </c>
      <c r="J20" s="5" t="s">
        <v>186</v>
      </c>
      <c r="K20" s="10" t="s">
        <v>22</v>
      </c>
      <c r="L20" s="9"/>
      <c r="M20" s="23"/>
      <c r="P20" s="22"/>
    </row>
    <row r="21" spans="1:16" ht="90" customHeight="1" x14ac:dyDescent="0.35">
      <c r="A21" s="17"/>
      <c r="B21" s="3" t="s">
        <v>103</v>
      </c>
      <c r="C21" s="4" t="s">
        <v>14</v>
      </c>
      <c r="D21" s="3" t="s">
        <v>104</v>
      </c>
      <c r="E21" s="3" t="s">
        <v>16</v>
      </c>
      <c r="F21" s="19" t="s">
        <v>44</v>
      </c>
      <c r="G21" s="3" t="s">
        <v>25</v>
      </c>
      <c r="H21" s="3" t="s">
        <v>105</v>
      </c>
      <c r="I21" s="3" t="s">
        <v>106</v>
      </c>
      <c r="J21" s="5" t="s">
        <v>186</v>
      </c>
      <c r="K21" s="7" t="s">
        <v>22</v>
      </c>
      <c r="L21" s="6"/>
      <c r="M21" s="23"/>
      <c r="P21" s="22"/>
    </row>
    <row r="22" spans="1:16" ht="90" customHeight="1" x14ac:dyDescent="0.35">
      <c r="A22" s="18"/>
      <c r="B22" s="8" t="s">
        <v>107</v>
      </c>
      <c r="C22" s="4" t="s">
        <v>14</v>
      </c>
      <c r="D22" s="8" t="s">
        <v>108</v>
      </c>
      <c r="E22" s="8" t="s">
        <v>16</v>
      </c>
      <c r="F22" s="19" t="s">
        <v>39</v>
      </c>
      <c r="G22" s="8" t="s">
        <v>109</v>
      </c>
      <c r="H22" s="8" t="s">
        <v>110</v>
      </c>
      <c r="I22" s="8" t="s">
        <v>111</v>
      </c>
      <c r="J22" s="5" t="s">
        <v>186</v>
      </c>
      <c r="K22" s="10" t="s">
        <v>22</v>
      </c>
      <c r="L22" s="9"/>
      <c r="M22" s="23"/>
      <c r="P22" s="22"/>
    </row>
    <row r="23" spans="1:16" ht="90" customHeight="1" x14ac:dyDescent="0.35">
      <c r="A23" s="17"/>
      <c r="B23" s="3" t="s">
        <v>112</v>
      </c>
      <c r="C23" s="4" t="s">
        <v>14</v>
      </c>
      <c r="D23" s="3" t="s">
        <v>113</v>
      </c>
      <c r="E23" s="3" t="s">
        <v>16</v>
      </c>
      <c r="F23" s="19" t="s">
        <v>39</v>
      </c>
      <c r="G23" s="3" t="s">
        <v>114</v>
      </c>
      <c r="H23" s="3" t="s">
        <v>115</v>
      </c>
      <c r="I23" s="3" t="s">
        <v>116</v>
      </c>
      <c r="J23" s="5" t="s">
        <v>186</v>
      </c>
      <c r="K23" s="7" t="s">
        <v>22</v>
      </c>
      <c r="L23" s="6"/>
      <c r="M23" s="23"/>
      <c r="P23" s="22"/>
    </row>
    <row r="24" spans="1:16" ht="90" customHeight="1" x14ac:dyDescent="0.35">
      <c r="A24" s="18"/>
      <c r="B24" s="8" t="s">
        <v>117</v>
      </c>
      <c r="C24" s="4" t="s">
        <v>14</v>
      </c>
      <c r="D24" s="8" t="s">
        <v>118</v>
      </c>
      <c r="E24" s="8" t="s">
        <v>16</v>
      </c>
      <c r="F24" s="19" t="s">
        <v>44</v>
      </c>
      <c r="G24" s="8" t="s">
        <v>119</v>
      </c>
      <c r="H24" s="8" t="s">
        <v>120</v>
      </c>
      <c r="I24" s="8" t="s">
        <v>121</v>
      </c>
      <c r="J24" s="5" t="s">
        <v>186</v>
      </c>
      <c r="K24" s="10" t="s">
        <v>22</v>
      </c>
      <c r="L24" s="9"/>
      <c r="M24" s="23"/>
      <c r="P24" s="22"/>
    </row>
    <row r="25" spans="1:16" ht="90" customHeight="1" x14ac:dyDescent="0.35">
      <c r="A25" s="17"/>
      <c r="B25" s="3" t="s">
        <v>122</v>
      </c>
      <c r="C25" s="4" t="s">
        <v>14</v>
      </c>
      <c r="D25" s="3" t="s">
        <v>123</v>
      </c>
      <c r="E25" s="3" t="s">
        <v>16</v>
      </c>
      <c r="F25" s="19" t="s">
        <v>17</v>
      </c>
      <c r="G25" s="3" t="s">
        <v>18</v>
      </c>
      <c r="H25" s="3" t="s">
        <v>124</v>
      </c>
      <c r="I25" s="3" t="s">
        <v>125</v>
      </c>
      <c r="J25" s="5" t="s">
        <v>186</v>
      </c>
      <c r="K25" s="7" t="s">
        <v>22</v>
      </c>
      <c r="L25" s="6"/>
      <c r="M25" s="23"/>
      <c r="P25" s="22"/>
    </row>
    <row r="26" spans="1:16" ht="90" customHeight="1" x14ac:dyDescent="0.35">
      <c r="A26" s="17"/>
      <c r="B26" s="3" t="s">
        <v>126</v>
      </c>
      <c r="C26" s="11" t="s">
        <v>62</v>
      </c>
      <c r="D26" s="3" t="s">
        <v>127</v>
      </c>
      <c r="E26" s="3" t="s">
        <v>16</v>
      </c>
      <c r="F26" s="19" t="s">
        <v>39</v>
      </c>
      <c r="G26" s="3" t="s">
        <v>18</v>
      </c>
      <c r="H26" s="3" t="s">
        <v>128</v>
      </c>
      <c r="I26" s="3" t="s">
        <v>129</v>
      </c>
      <c r="J26" s="5" t="s">
        <v>186</v>
      </c>
      <c r="K26" s="7" t="s">
        <v>22</v>
      </c>
      <c r="L26" s="6"/>
      <c r="M26" s="23"/>
      <c r="P26" s="22"/>
    </row>
    <row r="27" spans="1:16" ht="90" customHeight="1" x14ac:dyDescent="0.35">
      <c r="A27" s="18"/>
      <c r="B27" s="8" t="s">
        <v>130</v>
      </c>
      <c r="C27" s="11" t="s">
        <v>62</v>
      </c>
      <c r="D27" s="8" t="s">
        <v>131</v>
      </c>
      <c r="E27" s="8" t="s">
        <v>16</v>
      </c>
      <c r="F27" s="19" t="s">
        <v>17</v>
      </c>
      <c r="G27" s="8" t="s">
        <v>132</v>
      </c>
      <c r="H27" s="8" t="s">
        <v>133</v>
      </c>
      <c r="I27" s="8" t="s">
        <v>134</v>
      </c>
      <c r="J27" s="5" t="s">
        <v>186</v>
      </c>
      <c r="K27" s="10" t="s">
        <v>22</v>
      </c>
      <c r="L27" s="9"/>
      <c r="M27" s="23"/>
      <c r="P27" s="22"/>
    </row>
    <row r="28" spans="1:16" ht="90" customHeight="1" x14ac:dyDescent="0.35">
      <c r="A28" s="17"/>
      <c r="B28" s="3" t="s">
        <v>135</v>
      </c>
      <c r="C28" s="11" t="s">
        <v>62</v>
      </c>
      <c r="D28" s="3" t="s">
        <v>136</v>
      </c>
      <c r="E28" s="3" t="s">
        <v>137</v>
      </c>
      <c r="F28" s="19" t="s">
        <v>39</v>
      </c>
      <c r="G28" s="3" t="s">
        <v>132</v>
      </c>
      <c r="H28" s="3" t="s">
        <v>138</v>
      </c>
      <c r="I28" s="3" t="s">
        <v>139</v>
      </c>
      <c r="J28" s="5" t="s">
        <v>186</v>
      </c>
      <c r="K28" s="7" t="s">
        <v>22</v>
      </c>
      <c r="L28" s="6"/>
      <c r="M28" s="23"/>
      <c r="P28" s="22"/>
    </row>
    <row r="29" spans="1:16" ht="90" customHeight="1" x14ac:dyDescent="0.35">
      <c r="A29" s="18"/>
      <c r="B29" s="8" t="s">
        <v>140</v>
      </c>
      <c r="C29" s="11" t="s">
        <v>62</v>
      </c>
      <c r="D29" s="8" t="s">
        <v>141</v>
      </c>
      <c r="E29" s="8" t="s">
        <v>16</v>
      </c>
      <c r="F29" s="19" t="s">
        <v>17</v>
      </c>
      <c r="G29" s="8" t="s">
        <v>132</v>
      </c>
      <c r="H29" s="8" t="s">
        <v>142</v>
      </c>
      <c r="I29" s="8" t="s">
        <v>143</v>
      </c>
      <c r="J29" s="5" t="s">
        <v>186</v>
      </c>
      <c r="K29" s="10" t="s">
        <v>22</v>
      </c>
      <c r="L29" s="9"/>
      <c r="M29" s="23"/>
      <c r="P29" s="22"/>
    </row>
    <row r="30" spans="1:16" ht="90" customHeight="1" x14ac:dyDescent="0.35">
      <c r="A30" s="17"/>
      <c r="B30" s="3" t="s">
        <v>144</v>
      </c>
      <c r="C30" s="11" t="s">
        <v>62</v>
      </c>
      <c r="D30" s="3" t="s">
        <v>145</v>
      </c>
      <c r="E30" s="3" t="s">
        <v>137</v>
      </c>
      <c r="F30" s="19" t="s">
        <v>39</v>
      </c>
      <c r="G30" s="3" t="s">
        <v>132</v>
      </c>
      <c r="H30" s="3" t="s">
        <v>146</v>
      </c>
      <c r="I30" s="3" t="s">
        <v>147</v>
      </c>
      <c r="J30" s="5" t="s">
        <v>186</v>
      </c>
      <c r="K30" s="7" t="s">
        <v>22</v>
      </c>
      <c r="L30" s="6"/>
      <c r="M30" s="23"/>
      <c r="P30" s="22"/>
    </row>
    <row r="31" spans="1:16" ht="90" customHeight="1" x14ac:dyDescent="0.35">
      <c r="A31" s="18"/>
      <c r="B31" s="8" t="s">
        <v>148</v>
      </c>
      <c r="C31" s="11" t="s">
        <v>62</v>
      </c>
      <c r="D31" s="8" t="s">
        <v>149</v>
      </c>
      <c r="E31" s="8" t="s">
        <v>16</v>
      </c>
      <c r="F31" s="19" t="s">
        <v>17</v>
      </c>
      <c r="G31" s="8" t="s">
        <v>132</v>
      </c>
      <c r="H31" s="8" t="s">
        <v>150</v>
      </c>
      <c r="I31" s="8" t="s">
        <v>151</v>
      </c>
      <c r="J31" s="5" t="s">
        <v>186</v>
      </c>
      <c r="K31" s="10" t="s">
        <v>22</v>
      </c>
      <c r="L31" s="9"/>
      <c r="M31" s="23"/>
      <c r="P31" s="22"/>
    </row>
    <row r="32" spans="1:16" ht="90" customHeight="1" x14ac:dyDescent="0.35">
      <c r="A32" s="17"/>
      <c r="B32" s="3" t="s">
        <v>152</v>
      </c>
      <c r="C32" s="11" t="s">
        <v>62</v>
      </c>
      <c r="D32" s="3" t="s">
        <v>153</v>
      </c>
      <c r="E32" s="3" t="s">
        <v>137</v>
      </c>
      <c r="F32" s="19" t="s">
        <v>39</v>
      </c>
      <c r="G32" s="3" t="s">
        <v>132</v>
      </c>
      <c r="H32" s="3" t="s">
        <v>154</v>
      </c>
      <c r="I32" s="3" t="s">
        <v>155</v>
      </c>
      <c r="J32" s="5" t="s">
        <v>186</v>
      </c>
      <c r="K32" s="7" t="s">
        <v>22</v>
      </c>
      <c r="L32" s="6"/>
      <c r="M32" s="23"/>
      <c r="P32" s="22"/>
    </row>
    <row r="33" spans="1:16" ht="90" customHeight="1" x14ac:dyDescent="0.35">
      <c r="A33" s="18"/>
      <c r="B33" s="8" t="s">
        <v>156</v>
      </c>
      <c r="C33" s="11" t="s">
        <v>62</v>
      </c>
      <c r="D33" s="8" t="s">
        <v>157</v>
      </c>
      <c r="E33" s="8" t="s">
        <v>16</v>
      </c>
      <c r="F33" s="19" t="s">
        <v>17</v>
      </c>
      <c r="G33" s="8" t="s">
        <v>132</v>
      </c>
      <c r="H33" s="8" t="s">
        <v>158</v>
      </c>
      <c r="I33" s="8" t="s">
        <v>159</v>
      </c>
      <c r="J33" s="5" t="s">
        <v>186</v>
      </c>
      <c r="K33" s="10" t="s">
        <v>22</v>
      </c>
      <c r="L33" s="9"/>
      <c r="M33" s="23"/>
      <c r="P33" s="22"/>
    </row>
    <row r="34" spans="1:16" ht="90" customHeight="1" x14ac:dyDescent="0.35">
      <c r="A34" s="17"/>
      <c r="B34" s="3" t="s">
        <v>160</v>
      </c>
      <c r="C34" s="11" t="s">
        <v>62</v>
      </c>
      <c r="D34" s="3" t="s">
        <v>161</v>
      </c>
      <c r="E34" s="3" t="s">
        <v>16</v>
      </c>
      <c r="F34" s="19" t="s">
        <v>44</v>
      </c>
      <c r="G34" s="3" t="s">
        <v>132</v>
      </c>
      <c r="H34" s="3" t="s">
        <v>162</v>
      </c>
      <c r="I34" s="3" t="s">
        <v>163</v>
      </c>
      <c r="J34" s="5" t="s">
        <v>186</v>
      </c>
      <c r="K34" s="7" t="s">
        <v>22</v>
      </c>
      <c r="L34" s="6"/>
      <c r="M34" s="23"/>
      <c r="P34" s="22"/>
    </row>
    <row r="35" spans="1:16" ht="90" customHeight="1" x14ac:dyDescent="0.35">
      <c r="A35" s="18"/>
      <c r="B35" s="8" t="s">
        <v>164</v>
      </c>
      <c r="C35" s="11" t="s">
        <v>62</v>
      </c>
      <c r="D35" s="8" t="s">
        <v>165</v>
      </c>
      <c r="E35" s="8" t="s">
        <v>137</v>
      </c>
      <c r="F35" s="19" t="s">
        <v>39</v>
      </c>
      <c r="G35" s="8" t="s">
        <v>166</v>
      </c>
      <c r="H35" s="8" t="s">
        <v>167</v>
      </c>
      <c r="I35" s="8" t="s">
        <v>168</v>
      </c>
      <c r="J35" s="5" t="s">
        <v>186</v>
      </c>
      <c r="K35" s="10" t="s">
        <v>22</v>
      </c>
      <c r="L35" s="9"/>
      <c r="M35" s="23"/>
      <c r="P35" s="22"/>
    </row>
    <row r="36" spans="1:16" ht="90" customHeight="1" x14ac:dyDescent="0.35">
      <c r="A36" s="17"/>
      <c r="B36" s="3" t="s">
        <v>169</v>
      </c>
      <c r="C36" s="11" t="s">
        <v>62</v>
      </c>
      <c r="D36" s="3" t="s">
        <v>170</v>
      </c>
      <c r="E36" s="3" t="s">
        <v>16</v>
      </c>
      <c r="F36" s="19" t="s">
        <v>39</v>
      </c>
      <c r="G36" s="3" t="s">
        <v>132</v>
      </c>
      <c r="H36" s="3" t="s">
        <v>171</v>
      </c>
      <c r="I36" s="3" t="s">
        <v>172</v>
      </c>
      <c r="J36" s="5" t="s">
        <v>186</v>
      </c>
      <c r="K36" s="7" t="s">
        <v>22</v>
      </c>
      <c r="L36" s="6"/>
      <c r="M36" s="23"/>
      <c r="P36" s="22"/>
    </row>
  </sheetData>
  <mergeCells count="1">
    <mergeCell ref="A1:J1"/>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zoomScaleNormal="100" workbookViewId="0"/>
  </sheetViews>
  <sheetFormatPr defaultColWidth="8.6328125" defaultRowHeight="14.5" x14ac:dyDescent="0.35"/>
  <cols>
    <col min="1" max="1" width="22" customWidth="1"/>
    <col min="2" max="2" width="10" customWidth="1"/>
    <col min="3" max="3" width="28" customWidth="1"/>
  </cols>
  <sheetData>
    <row r="1" spans="1:3" ht="27.75" customHeight="1" x14ac:dyDescent="0.35">
      <c r="A1" s="1" t="s">
        <v>173</v>
      </c>
      <c r="B1" s="1"/>
      <c r="C1" s="1"/>
    </row>
    <row r="2" spans="1:3" ht="15" customHeight="1" x14ac:dyDescent="0.35">
      <c r="A2" s="12" t="s">
        <v>174</v>
      </c>
      <c r="B2" s="12" t="s">
        <v>175</v>
      </c>
      <c r="C2" s="12" t="s">
        <v>9</v>
      </c>
    </row>
    <row r="3" spans="1:3" ht="19.5" customHeight="1" x14ac:dyDescent="0.35">
      <c r="A3" s="13" t="s">
        <v>176</v>
      </c>
      <c r="B3" s="14">
        <f>COUNTA('Manual Test Cases'!B3:B36)</f>
        <v>34</v>
      </c>
      <c r="C3" s="13" t="s">
        <v>177</v>
      </c>
    </row>
    <row r="4" spans="1:3" ht="19.5" customHeight="1" x14ac:dyDescent="0.35">
      <c r="A4" s="15" t="s">
        <v>178</v>
      </c>
      <c r="B4" s="16">
        <f>COUNTIF('Manual Test Cases'!C3:C36,"Insights")</f>
        <v>16</v>
      </c>
      <c r="C4" s="15"/>
    </row>
    <row r="5" spans="1:3" ht="19.5" customHeight="1" x14ac:dyDescent="0.35">
      <c r="A5" s="13" t="s">
        <v>179</v>
      </c>
      <c r="B5" s="14">
        <f>COUNTIF('Manual Test Cases'!C3:C36,"Support")</f>
        <v>18</v>
      </c>
      <c r="C5" s="13"/>
    </row>
    <row r="6" spans="1:3" ht="19.5" customHeight="1" x14ac:dyDescent="0.35">
      <c r="A6" s="15" t="s">
        <v>180</v>
      </c>
      <c r="B6" s="16">
        <f>COUNTIF('Manual Test Cases'!F3:F36,"High")</f>
        <v>12</v>
      </c>
      <c r="C6" s="15"/>
    </row>
    <row r="7" spans="1:3" ht="19.5" customHeight="1" x14ac:dyDescent="0.35">
      <c r="A7" s="13" t="s">
        <v>181</v>
      </c>
      <c r="B7" s="14">
        <f>COUNTIF('Manual Test Cases'!F3:F36,"Medium")</f>
        <v>17</v>
      </c>
      <c r="C7" s="13"/>
    </row>
    <row r="8" spans="1:3" ht="19.5" customHeight="1" x14ac:dyDescent="0.35">
      <c r="A8" s="15" t="s">
        <v>182</v>
      </c>
      <c r="B8" s="16">
        <f>COUNTIF('Manual Test Cases'!F3:F36,"Low")</f>
        <v>5</v>
      </c>
      <c r="C8" s="15"/>
    </row>
    <row r="9" spans="1:3" ht="19.5" customHeight="1" x14ac:dyDescent="0.35">
      <c r="A9" s="13" t="s">
        <v>21</v>
      </c>
      <c r="B9" s="14">
        <f>COUNTIF('Manual Test Cases'!J3:J36,"Not Run")</f>
        <v>0</v>
      </c>
      <c r="C9" s="13"/>
    </row>
    <row r="10" spans="1:3" ht="19.5" customHeight="1" x14ac:dyDescent="0.35">
      <c r="A10" s="15" t="s">
        <v>183</v>
      </c>
      <c r="B10" s="16">
        <f>COUNTIF('Manual Test Cases'!J3:J36,"Pass")</f>
        <v>0</v>
      </c>
      <c r="C10" s="15"/>
    </row>
    <row r="11" spans="1:3" ht="19.5" customHeight="1" x14ac:dyDescent="0.35">
      <c r="A11" s="13" t="s">
        <v>184</v>
      </c>
      <c r="B11" s="14">
        <f>COUNTIF('Manual Test Cases'!J3:J36,"Fail")</f>
        <v>0</v>
      </c>
      <c r="C11" s="13"/>
    </row>
    <row r="12" spans="1:3" ht="19.5" customHeight="1" x14ac:dyDescent="0.35">
      <c r="A12" s="15" t="s">
        <v>185</v>
      </c>
      <c r="B12" s="16">
        <f>COUNTIF('Manual Test Cases'!J3:J36,"Blocked")</f>
        <v>0</v>
      </c>
      <c r="C12" s="15"/>
    </row>
  </sheetData>
  <mergeCells count="1">
    <mergeCell ref="A1:C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Manual 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farah abdelsalam</cp:lastModifiedBy>
  <cp:revision>0</cp:revision>
  <cp:lastPrinted>2026-04-10T19:44:46Z</cp:lastPrinted>
  <dcterms:created xsi:type="dcterms:W3CDTF">2026-04-09T22:49:41Z</dcterms:created>
  <dcterms:modified xsi:type="dcterms:W3CDTF">2026-04-10T20:05:18Z</dcterms:modified>
  <dc:language>en-US</dc:language>
</cp:coreProperties>
</file>